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20166443b6e473/Desktop/"/>
    </mc:Choice>
  </mc:AlternateContent>
  <xr:revisionPtr revIDLastSave="1" documentId="8_{F33F4EDE-6CA5-4DE6-8663-986C2A1D6F38}" xr6:coauthVersionLast="36" xr6:coauthVersionMax="36" xr10:uidLastSave="{37CB0020-9CDB-4875-89E7-BCB23B1FC9A9}"/>
  <bookViews>
    <workbookView xWindow="0" yWindow="0" windowWidth="12288" windowHeight="5340" xr2:uid="{00000000-000D-0000-FFFF-FFFF00000000}"/>
  </bookViews>
  <sheets>
    <sheet name="GCV" sheetId="3" r:id="rId1"/>
    <sheet name="Age RTO" sheetId="2" r:id="rId2"/>
  </sheets>
  <calcPr calcId="191029"/>
</workbook>
</file>

<file path=xl/calcChain.xml><?xml version="1.0" encoding="utf-8"?>
<calcChain xmlns="http://schemas.openxmlformats.org/spreadsheetml/2006/main">
  <c r="AF5" i="3" l="1"/>
  <c r="AL5" i="3"/>
  <c r="AI5" i="3"/>
  <c r="W5" i="3"/>
  <c r="AB5" i="3" s="1"/>
  <c r="AC5" i="3" l="1"/>
  <c r="AJ5" i="3"/>
  <c r="AH5" i="3"/>
  <c r="AA5" i="3"/>
  <c r="AM5" i="3"/>
  <c r="AK5" i="3"/>
  <c r="AE5" i="3"/>
  <c r="AS5" i="3" l="1"/>
  <c r="AQ5" i="3"/>
  <c r="X5" i="3" l="1"/>
  <c r="Y5" i="3" s="1"/>
  <c r="Z5" i="3" l="1"/>
  <c r="AN5" i="3"/>
  <c r="AD5" i="3" l="1"/>
  <c r="AG5" i="3"/>
  <c r="AO5" i="3" l="1"/>
  <c r="AP5" i="3" s="1"/>
  <c r="AR5" i="3" l="1"/>
  <c r="AT5" i="3" s="1"/>
</calcChain>
</file>

<file path=xl/sharedStrings.xml><?xml version="1.0" encoding="utf-8"?>
<sst xmlns="http://schemas.openxmlformats.org/spreadsheetml/2006/main" count="69" uniqueCount="62">
  <si>
    <t>Type of Vehicle</t>
  </si>
  <si>
    <t>Policy Type</t>
  </si>
  <si>
    <t>Zone</t>
  </si>
  <si>
    <t>Date of purchase</t>
  </si>
  <si>
    <t>IDV</t>
  </si>
  <si>
    <t>NCB</t>
  </si>
  <si>
    <t>Built in CNG/LPG</t>
  </si>
  <si>
    <t>Nil Dep</t>
  </si>
  <si>
    <t>Return to Invoice</t>
  </si>
  <si>
    <t>Consumables</t>
  </si>
  <si>
    <t>Road Side Assistance</t>
  </si>
  <si>
    <t>Additional Towing Charges</t>
  </si>
  <si>
    <t>CPA owner Driver</t>
  </si>
  <si>
    <t>LL to paid Driver</t>
  </si>
  <si>
    <t>OD Basic Rate</t>
  </si>
  <si>
    <t>Age of vehicle in years</t>
  </si>
  <si>
    <t>Age of the vehicle</t>
  </si>
  <si>
    <t>RTO Zone</t>
  </si>
  <si>
    <t>&lt;1000cc</t>
  </si>
  <si>
    <t>1001cc-1500cc</t>
  </si>
  <si>
    <t>&gt;1500cc</t>
  </si>
  <si>
    <t>&lt;=5 years</t>
  </si>
  <si>
    <t>&gt;5years to &lt;=10years</t>
  </si>
  <si>
    <t>&gt;10years</t>
  </si>
  <si>
    <t>Zone A</t>
  </si>
  <si>
    <t>Zone B</t>
  </si>
  <si>
    <t>Basic OD Premium</t>
  </si>
  <si>
    <t>Nil Dep Premium</t>
  </si>
  <si>
    <t xml:space="preserve">Engine Protection </t>
  </si>
  <si>
    <t>Age&lt;1</t>
  </si>
  <si>
    <t>1&lt;Age</t>
  </si>
  <si>
    <t>Return to Invoice Premium</t>
  </si>
  <si>
    <t>Consumables Premium</t>
  </si>
  <si>
    <t>CNG/LPG SI</t>
  </si>
  <si>
    <t>Built in CNG/LPG OD Premium</t>
  </si>
  <si>
    <t>CNG/LPG OD Premium</t>
  </si>
  <si>
    <t>Additional Towing Charges Premium</t>
  </si>
  <si>
    <t>Basic TP</t>
  </si>
  <si>
    <t>CPA owner Driver Premium</t>
  </si>
  <si>
    <t>CNG/LPG TP Premium</t>
  </si>
  <si>
    <t>NCB Discount</t>
  </si>
  <si>
    <t>OD Discount</t>
  </si>
  <si>
    <t>Total Premium</t>
  </si>
  <si>
    <t>Package</t>
  </si>
  <si>
    <t>GCV</t>
  </si>
  <si>
    <t>GVW</t>
  </si>
  <si>
    <t>Additional Towing Charges SI</t>
  </si>
  <si>
    <t>IMT 23 Cover</t>
  </si>
  <si>
    <t>NFPP</t>
  </si>
  <si>
    <t>IMT 23 Premium</t>
  </si>
  <si>
    <t>Electrical Accessories Premium</t>
  </si>
  <si>
    <t>Non Electrical Accessories Premium</t>
  </si>
  <si>
    <t>Electrical Accessories SI</t>
  </si>
  <si>
    <t>Non-Electrical Accessories SI</t>
  </si>
  <si>
    <t>Perowned</t>
  </si>
  <si>
    <t>C</t>
  </si>
  <si>
    <t>IGST-OD Premium @18%</t>
  </si>
  <si>
    <t>IGST-TP Premium @5%</t>
  </si>
  <si>
    <t xml:space="preserve">Net Premium -  OD </t>
  </si>
  <si>
    <t xml:space="preserve">Net Premium-  TP </t>
  </si>
  <si>
    <t>Input Fields</t>
  </si>
  <si>
    <t>Calculations and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</si>
</sst>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22"/>
  <sheetViews>
    <sheetView tabSelected="1" topLeftCell="W1" workbookViewId="0">
      <selection activeCell="AN10" sqref="AN10"/>
    </sheetView>
  </sheetViews>
  <sheetFormatPr defaultRowHeight="14.4" x14ac:dyDescent="0.3"/>
  <cols>
    <col min="5" max="5" width="11.33203125" customWidth="1"/>
    <col min="14" max="14" width="9.88671875" customWidth="1"/>
    <col min="15" max="15" width="10.21875" customWidth="1"/>
    <col min="16" max="16" width="13.33203125" customWidth="1"/>
    <col min="18" max="18" width="10.33203125" customWidth="1"/>
    <col min="19" max="19" width="10.88671875" customWidth="1"/>
    <col min="23" max="23" width="9.5546875" bestFit="1" customWidth="1"/>
    <col min="30" max="30" width="11.5546875" customWidth="1"/>
    <col min="34" max="34" width="10.5546875" bestFit="1" customWidth="1"/>
  </cols>
  <sheetData>
    <row r="1" spans="1:46" s="1" customFormat="1" x14ac:dyDescent="0.3">
      <c r="A1" s="23" t="s">
        <v>44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</row>
    <row r="2" spans="1:46" s="1" customForma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s="1" customFormat="1" x14ac:dyDescent="0.3">
      <c r="A3" s="24" t="s">
        <v>60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5" t="s">
        <v>61</v>
      </c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</row>
    <row r="4" spans="1:46" s="8" customFormat="1" ht="78.900000000000006" customHeight="1" x14ac:dyDescent="0.3">
      <c r="A4" s="6" t="s">
        <v>1</v>
      </c>
      <c r="B4" s="6" t="s">
        <v>0</v>
      </c>
      <c r="C4" s="6" t="s">
        <v>45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41</v>
      </c>
      <c r="I4" s="6" t="s">
        <v>6</v>
      </c>
      <c r="J4" s="6" t="s">
        <v>33</v>
      </c>
      <c r="K4" s="6" t="s">
        <v>7</v>
      </c>
      <c r="L4" s="6" t="s">
        <v>8</v>
      </c>
      <c r="M4" s="6" t="s">
        <v>9</v>
      </c>
      <c r="N4" s="6" t="s">
        <v>10</v>
      </c>
      <c r="O4" s="6" t="s">
        <v>11</v>
      </c>
      <c r="P4" s="6" t="s">
        <v>46</v>
      </c>
      <c r="Q4" s="6" t="s">
        <v>47</v>
      </c>
      <c r="R4" s="6" t="s">
        <v>52</v>
      </c>
      <c r="S4" s="6" t="s">
        <v>53</v>
      </c>
      <c r="T4" s="6" t="s">
        <v>12</v>
      </c>
      <c r="U4" s="6" t="s">
        <v>13</v>
      </c>
      <c r="V4" s="6" t="s">
        <v>48</v>
      </c>
      <c r="W4" s="6" t="s">
        <v>15</v>
      </c>
      <c r="X4" s="7" t="s">
        <v>14</v>
      </c>
      <c r="Y4" s="7" t="s">
        <v>26</v>
      </c>
      <c r="Z4" s="7" t="s">
        <v>27</v>
      </c>
      <c r="AA4" s="7" t="s">
        <v>10</v>
      </c>
      <c r="AB4" s="7" t="s">
        <v>31</v>
      </c>
      <c r="AC4" s="7" t="s">
        <v>32</v>
      </c>
      <c r="AD4" s="7" t="s">
        <v>34</v>
      </c>
      <c r="AE4" s="7" t="s">
        <v>35</v>
      </c>
      <c r="AF4" s="7" t="s">
        <v>36</v>
      </c>
      <c r="AG4" s="7" t="s">
        <v>49</v>
      </c>
      <c r="AH4" s="7" t="s">
        <v>50</v>
      </c>
      <c r="AI4" s="7" t="s">
        <v>51</v>
      </c>
      <c r="AJ4" s="9" t="s">
        <v>37</v>
      </c>
      <c r="AK4" s="9" t="s">
        <v>38</v>
      </c>
      <c r="AL4" s="9" t="s">
        <v>13</v>
      </c>
      <c r="AM4" s="9" t="s">
        <v>39</v>
      </c>
      <c r="AN4" s="12" t="s">
        <v>41</v>
      </c>
      <c r="AO4" s="12" t="s">
        <v>40</v>
      </c>
      <c r="AP4" s="12" t="s">
        <v>58</v>
      </c>
      <c r="AQ4" s="12" t="s">
        <v>59</v>
      </c>
      <c r="AR4" s="12" t="s">
        <v>56</v>
      </c>
      <c r="AS4" s="12" t="s">
        <v>57</v>
      </c>
      <c r="AT4" s="12" t="s">
        <v>42</v>
      </c>
    </row>
    <row r="5" spans="1:46" s="1" customFormat="1" x14ac:dyDescent="0.3">
      <c r="A5" s="15" t="s">
        <v>43</v>
      </c>
      <c r="B5" s="15" t="s">
        <v>54</v>
      </c>
      <c r="C5" s="15">
        <v>2735</v>
      </c>
      <c r="D5" s="15" t="s">
        <v>55</v>
      </c>
      <c r="E5" s="4">
        <v>45274</v>
      </c>
      <c r="F5" s="15">
        <v>750000</v>
      </c>
      <c r="G5" s="11">
        <v>0.45</v>
      </c>
      <c r="H5" s="15">
        <v>70</v>
      </c>
      <c r="I5" s="15">
        <v>1</v>
      </c>
      <c r="J5" s="15">
        <v>0</v>
      </c>
      <c r="K5" s="15">
        <v>1</v>
      </c>
      <c r="L5" s="15">
        <v>1</v>
      </c>
      <c r="M5" s="15">
        <v>1</v>
      </c>
      <c r="N5" s="15">
        <v>1</v>
      </c>
      <c r="O5" s="15">
        <v>1</v>
      </c>
      <c r="P5" s="15">
        <v>20000</v>
      </c>
      <c r="Q5" s="15">
        <v>1</v>
      </c>
      <c r="R5" s="15">
        <v>28000</v>
      </c>
      <c r="S5" s="15">
        <v>35000</v>
      </c>
      <c r="T5" s="15">
        <v>1</v>
      </c>
      <c r="U5" s="15">
        <v>1</v>
      </c>
      <c r="V5" s="15">
        <v>0</v>
      </c>
      <c r="W5" s="19">
        <f ca="1">(TODAY()-E5)/365.25</f>
        <v>2.2505133470225873</v>
      </c>
      <c r="X5" s="3">
        <f ca="1">(
IF(W5&lt;=5,
    IF(D5="A",1.751,IF(D5="B",1.743,1.726)),
    IF(W5&lt;=7,
        IF(D5="A",1.795,IF(D5="B",1.787,1.77)),
        IF(D5="A",1.839,IF(D5="B",1.83,1.812))
    )
)
)</f>
        <v>1.726</v>
      </c>
      <c r="Y5" s="5">
        <f ca="1">F5*X5% +
IF(C5&gt;12000, CEILING((C5-12000)/100,1)*27, 0)</f>
        <v>12945</v>
      </c>
      <c r="Z5" s="18">
        <f ca="1">IF(K5=1,IF(W5&lt;0.5,(Y5+AH5+AI5)*0.1,IF(W5&lt;1.5,(Y5+AH5+AI5)*0.2,(Y5+AH5+AI5)*0.3)),0)</f>
        <v>4400.7299999999996</v>
      </c>
      <c r="AA5" s="3">
        <f>IF(N5=1,200,0)</f>
        <v>200</v>
      </c>
      <c r="AB5" s="3">
        <f ca="1">IF(L5=1,IF(W5&lt;1,(F5+R5+S5)*0.18%,IF(W5&lt;2,(F5+R5+S5)*0.2%,(F5+R5+S5)*0.25%)),0)</f>
        <v>2032.5</v>
      </c>
      <c r="AC5" s="3">
        <f ca="1">IF(M5=1,IF(W5&lt;1,F5*0.15%,
 IF(W5&lt;=2,F5*0.18%,
 IF(W5&lt;=3,F5*0.22%,
 IF(W5&lt;=4,F5*0.25%,
  F5*0.3%
 )))),0)</f>
        <v>1650</v>
      </c>
      <c r="AD5" s="18">
        <f ca="1">IF(I5=1,IF(W5&lt;1,((Y5-AN5)+AH5+AI5)*0.05,IF(W5&lt;2,((Y5-AN5)+AH5+AI5)*4*0.05,((Y5-AN5)+AH5+AI5)*0.05)),0)</f>
        <v>259.23649999999998</v>
      </c>
      <c r="AE5" s="17">
        <f>J5*4%</f>
        <v>0</v>
      </c>
      <c r="AF5" s="3">
        <f>IF(O5=1,IF(P5&lt;=10000,P5*0.05,P5*0.075),0)</f>
        <v>1500</v>
      </c>
      <c r="AG5" s="3">
        <f ca="1">IF(Q5=1,(Y5+AH5+AI5-AN5)*0.15,0)</f>
        <v>777.70949999999993</v>
      </c>
      <c r="AH5" s="3">
        <f>R5*0.04</f>
        <v>1120</v>
      </c>
      <c r="AI5" s="3">
        <f>S5*0.01726</f>
        <v>604.1</v>
      </c>
      <c r="AJ5" s="10">
        <f>IF(C5&lt;=7500,16049,
   IF(C5&lt;=12000,27186,
      IF(C5&lt;=20000,35313,
         IF(C5&lt;=40000,43950,44242)
      )
   )
)</f>
        <v>16049</v>
      </c>
      <c r="AK5" s="10">
        <f>IF(T5=1,275,0)</f>
        <v>275</v>
      </c>
      <c r="AL5" s="10">
        <f>IF(U5&lt;&gt;0,50*U5,0)</f>
        <v>50</v>
      </c>
      <c r="AM5" s="17">
        <f>IF(I5=1,60,IF(J5&gt;0,60,0))</f>
        <v>60</v>
      </c>
      <c r="AN5" s="13">
        <f ca="1">((Y5+AI5)*H5)/100</f>
        <v>9484.3700000000008</v>
      </c>
      <c r="AO5" s="13">
        <f ca="1">((Y5-AN5)+Z5+AB5+AD5+AG5+AH5+AI5)*G5</f>
        <v>5694.7077000000008</v>
      </c>
      <c r="AP5" s="14">
        <f ca="1">SUM(Y5:AI5)-AN5-AO5</f>
        <v>10310.198299999996</v>
      </c>
      <c r="AQ5" s="14">
        <f>SUM(AJ5:AM5)</f>
        <v>16434</v>
      </c>
      <c r="AR5" s="13">
        <f ca="1">(AP5+AK5+AL5)*18%</f>
        <v>1914.3356939999992</v>
      </c>
      <c r="AS5" s="13">
        <f>(AJ5+AM5)*5%</f>
        <v>805.45</v>
      </c>
      <c r="AT5" s="14">
        <f ca="1">SUM(AP5:AS5)</f>
        <v>29463.983993999995</v>
      </c>
    </row>
    <row r="6" spans="1:46" s="1" customFormat="1" x14ac:dyDescent="0.3"/>
    <row r="11" spans="1:46" x14ac:dyDescent="0.3">
      <c r="AH11" s="20"/>
    </row>
    <row r="12" spans="1:46" x14ac:dyDescent="0.3">
      <c r="AH12" s="22"/>
    </row>
    <row r="18" spans="29:33" x14ac:dyDescent="0.3">
      <c r="AC18" s="20"/>
    </row>
    <row r="19" spans="29:33" x14ac:dyDescent="0.3">
      <c r="AC19" s="20"/>
    </row>
    <row r="22" spans="29:33" x14ac:dyDescent="0.3">
      <c r="AG22" s="21"/>
    </row>
  </sheetData>
  <dataConsolidate/>
  <mergeCells count="3">
    <mergeCell ref="A1:AT1"/>
    <mergeCell ref="A3:V3"/>
    <mergeCell ref="W3:AT3"/>
  </mergeCells>
  <dataValidations count="5">
    <dataValidation type="list" allowBlank="1" showInputMessage="1" showErrorMessage="1" sqref="G5" xr:uid="{00000000-0002-0000-0200-000000000000}">
      <formula1>"0%,20%,25%,35%,45%,50%"</formula1>
    </dataValidation>
    <dataValidation type="date" allowBlank="1" showInputMessage="1" showErrorMessage="1" sqref="E5" xr:uid="{00000000-0002-0000-0200-000001000000}">
      <formula1>1</formula1>
      <formula2>47573</formula2>
    </dataValidation>
    <dataValidation type="list" allowBlank="1" showInputMessage="1" showErrorMessage="1" sqref="D5" xr:uid="{00000000-0002-0000-0200-000002000000}">
      <formula1>"A,B,C"</formula1>
    </dataValidation>
    <dataValidation type="list" allowBlank="1" showInputMessage="1" showErrorMessage="1" sqref="A5" xr:uid="{00000000-0002-0000-0200-000003000000}">
      <formula1>"Package, Liability"</formula1>
    </dataValidation>
    <dataValidation type="list" allowBlank="1" showInputMessage="1" showErrorMessage="1" sqref="B5" xr:uid="{00000000-0002-0000-0200-000004000000}">
      <formula1>"New, Perowned"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A14" sqref="A14"/>
    </sheetView>
  </sheetViews>
  <sheetFormatPr defaultRowHeight="14.4" x14ac:dyDescent="0.3"/>
  <cols>
    <col min="1" max="1" width="20.109375" style="1" customWidth="1"/>
    <col min="2" max="3" width="9.109375" style="1"/>
    <col min="4" max="4" width="13.5546875" style="1" customWidth="1"/>
    <col min="5" max="5" width="9.109375" style="1"/>
  </cols>
  <sheetData>
    <row r="1" spans="1:5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3">
      <c r="A2" s="26" t="s">
        <v>21</v>
      </c>
      <c r="B2" s="2" t="s">
        <v>24</v>
      </c>
      <c r="C2" s="2">
        <v>3.1269999999999998</v>
      </c>
      <c r="D2" s="2">
        <v>3.2829999999999999</v>
      </c>
      <c r="E2" s="2">
        <v>3.44</v>
      </c>
    </row>
    <row r="3" spans="1:5" x14ac:dyDescent="0.3">
      <c r="A3" s="26"/>
      <c r="B3" s="2" t="s">
        <v>25</v>
      </c>
      <c r="C3" s="2">
        <v>3.0390000000000001</v>
      </c>
      <c r="D3" s="2">
        <v>3.1909999999999998</v>
      </c>
      <c r="E3" s="2">
        <v>3.343</v>
      </c>
    </row>
    <row r="4" spans="1:5" x14ac:dyDescent="0.3">
      <c r="A4" s="26" t="s">
        <v>22</v>
      </c>
      <c r="B4" s="2" t="s">
        <v>24</v>
      </c>
      <c r="C4" s="2">
        <v>3.2829999999999999</v>
      </c>
      <c r="D4" s="2">
        <v>3.4470000000000001</v>
      </c>
      <c r="E4" s="2">
        <v>3.6120000000000001</v>
      </c>
    </row>
    <row r="5" spans="1:5" x14ac:dyDescent="0.3">
      <c r="A5" s="26"/>
      <c r="B5" s="2" t="s">
        <v>25</v>
      </c>
      <c r="C5" s="2">
        <v>3.1909999999999998</v>
      </c>
      <c r="D5" s="2">
        <v>3.351</v>
      </c>
      <c r="E5" s="2">
        <v>3.51</v>
      </c>
    </row>
    <row r="6" spans="1:5" x14ac:dyDescent="0.3">
      <c r="A6" s="26" t="s">
        <v>23</v>
      </c>
      <c r="B6" s="2" t="s">
        <v>24</v>
      </c>
      <c r="C6" s="2">
        <v>3.3620000000000001</v>
      </c>
      <c r="D6" s="2">
        <v>3.5289999999999999</v>
      </c>
      <c r="E6" s="2">
        <v>3.698</v>
      </c>
    </row>
    <row r="7" spans="1:5" x14ac:dyDescent="0.3">
      <c r="A7" s="26"/>
      <c r="B7" s="2" t="s">
        <v>25</v>
      </c>
      <c r="C7" s="2">
        <v>3.2669999999999999</v>
      </c>
      <c r="D7" s="2">
        <v>3.43</v>
      </c>
      <c r="E7" s="2">
        <v>3.5960000000000001</v>
      </c>
    </row>
    <row r="12" spans="1:5" x14ac:dyDescent="0.3">
      <c r="A12" s="1" t="s">
        <v>28</v>
      </c>
    </row>
    <row r="13" spans="1:5" x14ac:dyDescent="0.3">
      <c r="A13" s="1" t="s">
        <v>29</v>
      </c>
    </row>
    <row r="14" spans="1:5" x14ac:dyDescent="0.3">
      <c r="A14" s="1" t="s">
        <v>30</v>
      </c>
    </row>
  </sheetData>
  <mergeCells count="3">
    <mergeCell ref="A2:A3"/>
    <mergeCell ref="A4:A5"/>
    <mergeCell ref="A6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GCV</vt:lpstr>
      <vt:lpstr>Age 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Shankar Karol</cp:lastModifiedBy>
  <dcterms:created xsi:type="dcterms:W3CDTF">2026-01-16T05:08:17Z</dcterms:created>
  <dcterms:modified xsi:type="dcterms:W3CDTF">2026-03-15T09:15:18Z</dcterms:modified>
</cp:coreProperties>
</file>