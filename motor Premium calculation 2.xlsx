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Bima Uncle\"/>
    </mc:Choice>
  </mc:AlternateContent>
  <bookViews>
    <workbookView xWindow="480" yWindow="43" windowWidth="27797" windowHeight="12600" activeTab="2"/>
  </bookViews>
  <sheets>
    <sheet name="Private Car" sheetId="1" r:id="rId1"/>
    <sheet name="Age RTO" sheetId="2" r:id="rId2"/>
    <sheet name="GCV" sheetId="3" r:id="rId3"/>
  </sheets>
  <calcPr calcId="162913"/>
</workbook>
</file>

<file path=xl/calcChain.xml><?xml version="1.0" encoding="utf-8"?>
<calcChain xmlns="http://schemas.openxmlformats.org/spreadsheetml/2006/main">
  <c r="AL4" i="3" l="1"/>
  <c r="AJ4" i="3"/>
  <c r="AI4" i="3"/>
  <c r="AH4" i="3"/>
  <c r="AF4" i="3"/>
  <c r="AA4" i="3"/>
  <c r="AM4" i="3"/>
  <c r="AK4" i="3"/>
  <c r="AE4" i="3"/>
  <c r="W4" i="3" l="1"/>
  <c r="AC4" i="3" s="1"/>
  <c r="AT4" i="1"/>
  <c r="AX4" i="1"/>
  <c r="AW4" i="1"/>
  <c r="AV4" i="1"/>
  <c r="AU4" i="1"/>
  <c r="AS4" i="1"/>
  <c r="AQ4" i="1"/>
  <c r="AP4" i="1"/>
  <c r="AN4" i="1"/>
  <c r="AM4" i="1"/>
  <c r="AL4" i="1"/>
  <c r="AJ4" i="1"/>
  <c r="AH4" i="1"/>
  <c r="AF4" i="1"/>
  <c r="AA4" i="1"/>
  <c r="AB4" i="1" s="1"/>
  <c r="X4" i="3" l="1"/>
  <c r="Y4" i="3" s="1"/>
  <c r="AB4" i="3"/>
  <c r="H7" i="3"/>
  <c r="AC4" i="1"/>
  <c r="AR4" i="1"/>
  <c r="AO4" i="1"/>
  <c r="AI4" i="1"/>
  <c r="AG4" i="1"/>
  <c r="AE4" i="1"/>
  <c r="Z4" i="3" l="1"/>
  <c r="AD4" i="3"/>
  <c r="AN4" i="3"/>
  <c r="AG4" i="3" s="1"/>
  <c r="AY4" i="1"/>
  <c r="AK4" i="1"/>
  <c r="AD4" i="1"/>
  <c r="AO4" i="3" l="1"/>
  <c r="AP4" i="3" s="1"/>
  <c r="AR4" i="3" s="1"/>
  <c r="AZ4" i="1"/>
  <c r="BA4" i="1" s="1"/>
  <c r="AQ4" i="3" l="1"/>
  <c r="AS4" i="3" s="1"/>
  <c r="BB4" i="1"/>
  <c r="BC4" i="1"/>
  <c r="BD4" i="1" l="1"/>
</calcChain>
</file>

<file path=xl/sharedStrings.xml><?xml version="1.0" encoding="utf-8"?>
<sst xmlns="http://schemas.openxmlformats.org/spreadsheetml/2006/main" count="132" uniqueCount="84">
  <si>
    <t>Private Car</t>
  </si>
  <si>
    <t>Type of Vehicle</t>
  </si>
  <si>
    <t>Policy Type</t>
  </si>
  <si>
    <t>Cubic Capacity</t>
  </si>
  <si>
    <t>Zone</t>
  </si>
  <si>
    <t>Date of purchase</t>
  </si>
  <si>
    <t>IDV</t>
  </si>
  <si>
    <t>NCB</t>
  </si>
  <si>
    <t>Built in CNG/LPG</t>
  </si>
  <si>
    <t>Nil Dep</t>
  </si>
  <si>
    <t>Return to Invoice</t>
  </si>
  <si>
    <t>NCB Protect</t>
  </si>
  <si>
    <t>Engine and Gearbox Protection</t>
  </si>
  <si>
    <t>Consumables</t>
  </si>
  <si>
    <t>Road Side Assistance</t>
  </si>
  <si>
    <t>Courtesy Car Cover</t>
  </si>
  <si>
    <t>Additional Towing Charges</t>
  </si>
  <si>
    <t>Medical Expenses</t>
  </si>
  <si>
    <t>Road Tax Cover (SI- IDV*20%)</t>
  </si>
  <si>
    <t>Loss of Key (SI - 25k)</t>
  </si>
  <si>
    <t>Tyre and RIM protector</t>
  </si>
  <si>
    <t>Personal Effects (SI - 10k)</t>
  </si>
  <si>
    <t>Own Damage Section</t>
  </si>
  <si>
    <t>CPA owner Driver</t>
  </si>
  <si>
    <t>LL to paid Driver</t>
  </si>
  <si>
    <t>Liability Section</t>
  </si>
  <si>
    <t>OD Basic Rate</t>
  </si>
  <si>
    <t>Age of vehicle in years</t>
  </si>
  <si>
    <t>Age of the vehicle</t>
  </si>
  <si>
    <t>RTO Zone</t>
  </si>
  <si>
    <t>&lt;1000cc</t>
  </si>
  <si>
    <t>1001cc-1500cc</t>
  </si>
  <si>
    <t>&gt;1500cc</t>
  </si>
  <si>
    <t>&lt;=5 years</t>
  </si>
  <si>
    <t>&gt;5years to &lt;=10years</t>
  </si>
  <si>
    <t>&gt;10years</t>
  </si>
  <si>
    <t>Zone A</t>
  </si>
  <si>
    <t>Zone B</t>
  </si>
  <si>
    <t>A</t>
  </si>
  <si>
    <t>Basic OD Premium</t>
  </si>
  <si>
    <t>Nil Dep Premium</t>
  </si>
  <si>
    <t xml:space="preserve">Engine Protection </t>
  </si>
  <si>
    <t>Age&lt;1</t>
  </si>
  <si>
    <t>1&lt;Age</t>
  </si>
  <si>
    <t>Engine and Gearbox Protection Premium</t>
  </si>
  <si>
    <t>Return to Invoice Premium</t>
  </si>
  <si>
    <t>NCB Protect Premium</t>
  </si>
  <si>
    <t>Consumables Premium</t>
  </si>
  <si>
    <t>Geographical Area Extension</t>
  </si>
  <si>
    <t>CNG/LPG SI</t>
  </si>
  <si>
    <t>Built in CNG/LPG OD Premium</t>
  </si>
  <si>
    <t>CNG/LPG OD Premium</t>
  </si>
  <si>
    <t>Loss of Key (SI - 25k) Premium</t>
  </si>
  <si>
    <t>Additional Towing Charges Premium</t>
  </si>
  <si>
    <t>Medical Expenses Premium</t>
  </si>
  <si>
    <t>Tyre and RIM protector Premium</t>
  </si>
  <si>
    <t>Personal Effects (SI - 10k) Premium</t>
  </si>
  <si>
    <t>Courtesy Car Cover Premium</t>
  </si>
  <si>
    <t>Road Tax Premium</t>
  </si>
  <si>
    <t>Basic TP</t>
  </si>
  <si>
    <t>CPA owner Driver Premium</t>
  </si>
  <si>
    <t>CNG/LPG TP Premium</t>
  </si>
  <si>
    <t>Geographical Area Extension OD Premium</t>
  </si>
  <si>
    <t>Geographical Area Extension TP Premium</t>
  </si>
  <si>
    <t>Net Premium</t>
  </si>
  <si>
    <t>NCB Discount</t>
  </si>
  <si>
    <t>OD Discount</t>
  </si>
  <si>
    <t>CGST @9%</t>
  </si>
  <si>
    <t>SGST @9%</t>
  </si>
  <si>
    <t>1000cc - 1500cc</t>
  </si>
  <si>
    <t>Total Premium</t>
  </si>
  <si>
    <t>New</t>
  </si>
  <si>
    <t>Package</t>
  </si>
  <si>
    <t>GCV</t>
  </si>
  <si>
    <t>GVW</t>
  </si>
  <si>
    <t>Additional Towing Charges SI</t>
  </si>
  <si>
    <t>IMT 23 Cover</t>
  </si>
  <si>
    <t>NFPP</t>
  </si>
  <si>
    <t>IMT 23 Premium</t>
  </si>
  <si>
    <t>Electrical Accessories Premium</t>
  </si>
  <si>
    <t>Non Electrical Accessories Premium</t>
  </si>
  <si>
    <t>Electrical Accessories SI</t>
  </si>
  <si>
    <t>Non-Electrical Accessories SI</t>
  </si>
  <si>
    <t>02/08/2026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</si>
</sst>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"/>
  <sheetViews>
    <sheetView workbookViewId="0">
      <selection sqref="A1:XFD5"/>
    </sheetView>
  </sheetViews>
  <sheetFormatPr defaultColWidth="9.15234375" defaultRowHeight="14.6" x14ac:dyDescent="0.4"/>
  <cols>
    <col min="1" max="1" width="11.3828125" style="1" customWidth="1"/>
    <col min="2" max="2" width="15.69140625" style="1" customWidth="1"/>
    <col min="3" max="3" width="13.15234375" style="1" customWidth="1"/>
    <col min="4" max="4" width="9.15234375" style="1"/>
    <col min="5" max="5" width="16" style="1" customWidth="1"/>
    <col min="6" max="8" width="9.15234375" style="1" customWidth="1"/>
    <col min="9" max="10" width="15.3828125" style="1" customWidth="1"/>
    <col min="11" max="11" width="9.15234375" style="1" customWidth="1"/>
    <col min="12" max="12" width="16.3046875" style="1" customWidth="1"/>
    <col min="13" max="13" width="11.3046875" style="1" customWidth="1"/>
    <col min="14" max="14" width="17" style="1" customWidth="1"/>
    <col min="15" max="15" width="12.84375" style="1" customWidth="1"/>
    <col min="16" max="17" width="16.3046875" style="1" customWidth="1"/>
    <col min="18" max="18" width="12.3046875" style="1" customWidth="1"/>
    <col min="19" max="19" width="15" style="1" customWidth="1"/>
    <col min="20" max="20" width="14.53515625" style="1" customWidth="1"/>
    <col min="21" max="26" width="9.15234375" style="1" customWidth="1"/>
    <col min="27" max="27" width="12.3046875" style="1" customWidth="1"/>
    <col min="28" max="28" width="13.15234375" style="1" bestFit="1" customWidth="1"/>
    <col min="29" max="30" width="9.15234375" style="1"/>
    <col min="31" max="31" width="18.3828125" style="1" bestFit="1" customWidth="1"/>
    <col min="32" max="32" width="10.69140625" style="1" customWidth="1"/>
    <col min="33" max="34" width="9.15234375" style="1"/>
    <col min="35" max="35" width="12.84375" style="1" customWidth="1"/>
    <col min="36" max="36" width="13.3046875" style="1" customWidth="1"/>
    <col min="37" max="49" width="9.15234375" style="1"/>
    <col min="50" max="50" width="13.15234375" style="1" customWidth="1"/>
    <col min="51" max="16384" width="9.15234375" style="1"/>
  </cols>
  <sheetData>
    <row r="1" spans="1:56" x14ac:dyDescent="0.4">
      <c r="A1" s="2" t="s">
        <v>0</v>
      </c>
    </row>
    <row r="2" spans="1:56" x14ac:dyDescent="0.4">
      <c r="A2" s="21" t="s">
        <v>22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 t="s">
        <v>25</v>
      </c>
      <c r="Z2" s="21"/>
    </row>
    <row r="3" spans="1:56" s="12" customFormat="1" ht="65.25" customHeight="1" x14ac:dyDescent="0.4">
      <c r="A3" s="9" t="s">
        <v>2</v>
      </c>
      <c r="B3" s="9" t="s">
        <v>1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66</v>
      </c>
      <c r="I3" s="9" t="s">
        <v>8</v>
      </c>
      <c r="J3" s="9" t="s">
        <v>49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48</v>
      </c>
      <c r="R3" s="9" t="s">
        <v>18</v>
      </c>
      <c r="S3" s="9" t="s">
        <v>15</v>
      </c>
      <c r="T3" s="9" t="s">
        <v>16</v>
      </c>
      <c r="U3" s="9" t="s">
        <v>17</v>
      </c>
      <c r="V3" s="9" t="s">
        <v>19</v>
      </c>
      <c r="W3" s="9" t="s">
        <v>20</v>
      </c>
      <c r="X3" s="9" t="s">
        <v>21</v>
      </c>
      <c r="Y3" s="9" t="s">
        <v>23</v>
      </c>
      <c r="Z3" s="9" t="s">
        <v>24</v>
      </c>
      <c r="AA3" s="9" t="s">
        <v>27</v>
      </c>
      <c r="AB3" s="10" t="s">
        <v>26</v>
      </c>
      <c r="AC3" s="11" t="s">
        <v>39</v>
      </c>
      <c r="AD3" s="11" t="s">
        <v>40</v>
      </c>
      <c r="AE3" s="11" t="s">
        <v>44</v>
      </c>
      <c r="AF3" s="11" t="s">
        <v>14</v>
      </c>
      <c r="AG3" s="11" t="s">
        <v>45</v>
      </c>
      <c r="AH3" s="11" t="s">
        <v>46</v>
      </c>
      <c r="AI3" s="11" t="s">
        <v>47</v>
      </c>
      <c r="AJ3" s="11" t="s">
        <v>62</v>
      </c>
      <c r="AK3" s="11" t="s">
        <v>50</v>
      </c>
      <c r="AL3" s="11" t="s">
        <v>51</v>
      </c>
      <c r="AM3" s="11" t="s">
        <v>52</v>
      </c>
      <c r="AN3" s="11" t="s">
        <v>53</v>
      </c>
      <c r="AO3" s="11" t="s">
        <v>54</v>
      </c>
      <c r="AP3" s="11" t="s">
        <v>55</v>
      </c>
      <c r="AQ3" s="11" t="s">
        <v>56</v>
      </c>
      <c r="AR3" s="11" t="s">
        <v>57</v>
      </c>
      <c r="AS3" s="11" t="s">
        <v>58</v>
      </c>
      <c r="AT3" s="13" t="s">
        <v>59</v>
      </c>
      <c r="AU3" s="13" t="s">
        <v>60</v>
      </c>
      <c r="AV3" s="13" t="s">
        <v>24</v>
      </c>
      <c r="AW3" s="13" t="s">
        <v>61</v>
      </c>
      <c r="AX3" s="13" t="s">
        <v>63</v>
      </c>
      <c r="AY3" s="16" t="s">
        <v>66</v>
      </c>
      <c r="AZ3" s="16" t="s">
        <v>65</v>
      </c>
      <c r="BA3" s="16" t="s">
        <v>64</v>
      </c>
      <c r="BB3" s="16" t="s">
        <v>67</v>
      </c>
      <c r="BC3" s="16" t="s">
        <v>68</v>
      </c>
      <c r="BD3" s="16" t="s">
        <v>70</v>
      </c>
    </row>
    <row r="4" spans="1:56" x14ac:dyDescent="0.4">
      <c r="A4" s="3" t="s">
        <v>72</v>
      </c>
      <c r="B4" s="3" t="s">
        <v>71</v>
      </c>
      <c r="C4" s="3" t="s">
        <v>69</v>
      </c>
      <c r="D4" s="3" t="s">
        <v>38</v>
      </c>
      <c r="E4" s="6">
        <v>45658</v>
      </c>
      <c r="F4" s="3">
        <v>125000</v>
      </c>
      <c r="G4" s="15">
        <v>0.2</v>
      </c>
      <c r="H4" s="3">
        <v>60</v>
      </c>
      <c r="I4" s="3">
        <v>1</v>
      </c>
      <c r="J4" s="3">
        <v>0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1</v>
      </c>
      <c r="T4" s="3">
        <v>1</v>
      </c>
      <c r="U4" s="3">
        <v>1</v>
      </c>
      <c r="V4" s="3">
        <v>1</v>
      </c>
      <c r="W4" s="3">
        <v>100000</v>
      </c>
      <c r="X4" s="3">
        <v>1</v>
      </c>
      <c r="Y4" s="3">
        <v>1</v>
      </c>
      <c r="Z4" s="3">
        <v>1</v>
      </c>
      <c r="AA4" s="3">
        <f ca="1">DATEDIF(E4,TODAY(),"y")</f>
        <v>1</v>
      </c>
      <c r="AB4" s="5">
        <f ca="1">IF(AA4&lt;=5,
    IF(D4="A",
        IF(C4="Upto 1000cc",3.127,IF(C4="1000cc - 1500cc",3.283,3.44)),
        IF(C4="Upto 1000cc",3.039,IF(C4="1000cc - 1500cc",3.191,3.343))
    ),
    IF(AA4&lt;=10,
        IF(D4="A",
            IF(C4="Upto 1000cc",3.283,IF(C4="1000cc - 1500cc",3.447,3.612)),
            IF(C4="Upto 1000cc",3.191,IF(C4="1000cc - 1500cc",3.351,3.51))
        ),
        IF(D4="A",
            IF(C4="Upto 1000cc",3.362,IF(C4="1000cc - 1500cc",3.529,3.698)),
            IF(C4="Upto 1000cc",3.267,IF(C4="1000cc - 1500cc",3.43,3.596))
        )
    )
)</f>
        <v>3.2829999999999999</v>
      </c>
      <c r="AC4" s="7">
        <f ca="1">F4*AB4%</f>
        <v>4103.75</v>
      </c>
      <c r="AD4" s="8">
        <f ca="1">IF(K4=1,IF(AA4&lt;1,AC4*0.1,IF(AA4&lt;2,AC4*0.2,AC4*0.3)),0)</f>
        <v>820.75</v>
      </c>
      <c r="AE4" s="5">
        <f ca="1">IF(N4=1,IF(AA4&lt;1,F4*0.13%,
 IF(AA4&lt;=1,F4*0.16%,
 IF(AA4&lt;=2,F4*0.21%,
 IF(AA4&lt;=3,F4*0.27%,
 IF(AA4&lt;=4,F4*0.32%,
 F4*0.32%
 ))))),0)</f>
        <v>200</v>
      </c>
      <c r="AF4" s="5">
        <f>IF(P4=1,50,0)</f>
        <v>50</v>
      </c>
      <c r="AG4" s="5">
        <f ca="1">IF(L4=1,IF(AA4&lt;1,F4*0.15%,IF(AA4&lt;2,F4*0.2%,F4*0.25%)),0)</f>
        <v>250</v>
      </c>
      <c r="AH4" s="5">
        <f>IF(M4=1,F4*0.15%,0)</f>
        <v>187.5</v>
      </c>
      <c r="AI4" s="5">
        <f ca="1">IF(O4=1,IF(AA4&lt;1,F4*0.1%,
 IF(AA4&lt;=1,F4*0.12%,
 IF(AA4&lt;=2,F4*0.15%,
 IF(AA4&lt;=3,F4*0.17%,
  F4*0.2%
 )))),0)</f>
        <v>150</v>
      </c>
      <c r="AJ4" s="5">
        <f>IF(Q4=1,400,0)</f>
        <v>400</v>
      </c>
      <c r="AK4" s="8">
        <f ca="1">IF(I4=1,IF(AA4&lt;1,AC4*0.01,IF(AA4&lt;2,AC4*0.02,AC4*0.03)),0)</f>
        <v>82.075000000000003</v>
      </c>
      <c r="AL4" s="5">
        <f>J4*4%</f>
        <v>0</v>
      </c>
      <c r="AM4" s="5">
        <f>IF(V4=1,750,0)</f>
        <v>750</v>
      </c>
      <c r="AN4" s="5">
        <f>IF(T4=1,75,0)</f>
        <v>75</v>
      </c>
      <c r="AO4" s="5">
        <f ca="1">IF(U4=1,IF(AA4&lt;1,275,IF(AA4&lt;=5,325,450)),0)</f>
        <v>325</v>
      </c>
      <c r="AP4" s="5">
        <f>IF(W4=25000,1000,IF(W4=50000,2000,IF(W4=100000,4000,IF(W4=200000,8000,0))))</f>
        <v>4000</v>
      </c>
      <c r="AQ4" s="5">
        <f>IF(X4=1,500,0)</f>
        <v>500</v>
      </c>
      <c r="AR4" s="5">
        <f ca="1">IF(S4=1, IF(AA4&lt;1,375,IF(AA4&lt;=5,450,600)),0)</f>
        <v>450</v>
      </c>
      <c r="AS4" s="5">
        <f>IF(R4=1,(F4*0.2)*0.25%,0)</f>
        <v>0</v>
      </c>
      <c r="AT4" s="14">
        <f>IF(C4="Upto 1000cc",2094,IF(C4="1000cc - 1500cc",3416,7897))</f>
        <v>3416</v>
      </c>
      <c r="AU4" s="14">
        <f>IF(Y4=1,275,0)</f>
        <v>275</v>
      </c>
      <c r="AV4" s="14">
        <f>IF(Z4=1,50,0)</f>
        <v>50</v>
      </c>
      <c r="AW4" s="14">
        <f>IF(I4=1,60,IF(J4&gt;0,60,0))</f>
        <v>60</v>
      </c>
      <c r="AX4" s="14">
        <f>IF(Q4=1,100,0)</f>
        <v>100</v>
      </c>
      <c r="AY4" s="17">
        <f ca="1">(AC4*H4)/100</f>
        <v>2462.25</v>
      </c>
      <c r="AZ4" s="17">
        <f ca="1">((AC4-AY4)+AD4+AG4+AJ4+AK4)*G4</f>
        <v>638.86500000000001</v>
      </c>
      <c r="BA4" s="18">
        <f ca="1">SUM(AC4:AX4)-AY4-AZ4</f>
        <v>13143.960000000001</v>
      </c>
      <c r="BB4" s="17">
        <f ca="1">BA4*9%</f>
        <v>1182.9564</v>
      </c>
      <c r="BC4" s="17">
        <f ca="1">BA4*9%</f>
        <v>1182.9564</v>
      </c>
      <c r="BD4" s="18">
        <f ca="1">BC4+BB4+BA4</f>
        <v>15509.872800000001</v>
      </c>
    </row>
    <row r="10" spans="1:56" x14ac:dyDescent="0.4">
      <c r="AF10" s="4"/>
    </row>
  </sheetData>
  <mergeCells count="2">
    <mergeCell ref="A2:X2"/>
    <mergeCell ref="Y2:Z2"/>
  </mergeCells>
  <dataValidations count="8">
    <dataValidation type="list" allowBlank="1" showInputMessage="1" showErrorMessage="1" sqref="B4">
      <formula1>"New, Perowned"</formula1>
    </dataValidation>
    <dataValidation type="list" allowBlank="1" showInputMessage="1" showErrorMessage="1" sqref="A4">
      <formula1>"Package, Liability, Standalone OD"</formula1>
    </dataValidation>
    <dataValidation type="list" allowBlank="1" showInputMessage="1" showErrorMessage="1" sqref="C4">
      <formula1>"Upto 1000cc, 1000cc - 1500cc, Above 1500cc"</formula1>
    </dataValidation>
    <dataValidation type="list" allowBlank="1" showInputMessage="1" showErrorMessage="1" sqref="D4">
      <formula1>"A,B"</formula1>
    </dataValidation>
    <dataValidation type="date" allowBlank="1" showInputMessage="1" showErrorMessage="1" sqref="E4">
      <formula1>1</formula1>
      <formula2>47573</formula2>
    </dataValidation>
    <dataValidation type="list" allowBlank="1" showInputMessage="1" showErrorMessage="1" sqref="G4">
      <formula1>"0%,20%,25%,35%,45%,50%"</formula1>
    </dataValidation>
    <dataValidation type="whole" operator="greaterThanOrEqual" allowBlank="1" showInputMessage="1" showErrorMessage="1" sqref="R4">
      <formula1>0</formula1>
    </dataValidation>
    <dataValidation type="list" allowBlank="1" showInputMessage="1" showErrorMessage="1" sqref="W4">
      <formula1>"0,25000,50000,100000,200000"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14" sqref="A14"/>
    </sheetView>
  </sheetViews>
  <sheetFormatPr defaultRowHeight="14.6" x14ac:dyDescent="0.4"/>
  <cols>
    <col min="1" max="1" width="20.15234375" style="1" customWidth="1"/>
    <col min="2" max="3" width="9.15234375" style="1"/>
    <col min="4" max="4" width="13.53515625" style="1" customWidth="1"/>
    <col min="5" max="5" width="9.15234375" style="1"/>
  </cols>
  <sheetData>
    <row r="1" spans="1:5" x14ac:dyDescent="0.4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</row>
    <row r="2" spans="1:5" x14ac:dyDescent="0.4">
      <c r="A2" s="22" t="s">
        <v>33</v>
      </c>
      <c r="B2" s="3" t="s">
        <v>36</v>
      </c>
      <c r="C2" s="3">
        <v>3.1269999999999998</v>
      </c>
      <c r="D2" s="3">
        <v>3.2829999999999999</v>
      </c>
      <c r="E2" s="3">
        <v>3.44</v>
      </c>
    </row>
    <row r="3" spans="1:5" x14ac:dyDescent="0.4">
      <c r="A3" s="22"/>
      <c r="B3" s="3" t="s">
        <v>37</v>
      </c>
      <c r="C3" s="3">
        <v>3.0390000000000001</v>
      </c>
      <c r="D3" s="3">
        <v>3.1909999999999998</v>
      </c>
      <c r="E3" s="3">
        <v>3.343</v>
      </c>
    </row>
    <row r="4" spans="1:5" x14ac:dyDescent="0.4">
      <c r="A4" s="22" t="s">
        <v>34</v>
      </c>
      <c r="B4" s="3" t="s">
        <v>36</v>
      </c>
      <c r="C4" s="3">
        <v>3.2829999999999999</v>
      </c>
      <c r="D4" s="3">
        <v>3.4470000000000001</v>
      </c>
      <c r="E4" s="3">
        <v>3.6120000000000001</v>
      </c>
    </row>
    <row r="5" spans="1:5" x14ac:dyDescent="0.4">
      <c r="A5" s="22"/>
      <c r="B5" s="3" t="s">
        <v>37</v>
      </c>
      <c r="C5" s="3">
        <v>3.1909999999999998</v>
      </c>
      <c r="D5" s="3">
        <v>3.351</v>
      </c>
      <c r="E5" s="3">
        <v>3.51</v>
      </c>
    </row>
    <row r="6" spans="1:5" x14ac:dyDescent="0.4">
      <c r="A6" s="22" t="s">
        <v>35</v>
      </c>
      <c r="B6" s="3" t="s">
        <v>36</v>
      </c>
      <c r="C6" s="3">
        <v>3.3620000000000001</v>
      </c>
      <c r="D6" s="3">
        <v>3.5289999999999999</v>
      </c>
      <c r="E6" s="3">
        <v>3.698</v>
      </c>
    </row>
    <row r="7" spans="1:5" x14ac:dyDescent="0.4">
      <c r="A7" s="22"/>
      <c r="B7" s="3" t="s">
        <v>37</v>
      </c>
      <c r="C7" s="3">
        <v>3.2669999999999999</v>
      </c>
      <c r="D7" s="3">
        <v>3.43</v>
      </c>
      <c r="E7" s="3">
        <v>3.5960000000000001</v>
      </c>
    </row>
    <row r="12" spans="1:5" x14ac:dyDescent="0.4">
      <c r="A12" s="1" t="s">
        <v>41</v>
      </c>
    </row>
    <row r="13" spans="1:5" x14ac:dyDescent="0.4">
      <c r="A13" s="1" t="s">
        <v>42</v>
      </c>
    </row>
    <row r="14" spans="1:5" x14ac:dyDescent="0.4">
      <c r="A14" s="1" t="s">
        <v>43</v>
      </c>
    </row>
  </sheetData>
  <mergeCells count="3">
    <mergeCell ref="A2:A3"/>
    <mergeCell ref="A4:A5"/>
    <mergeCell ref="A6:A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"/>
  <sheetViews>
    <sheetView tabSelected="1" topLeftCell="H1" workbookViewId="0">
      <selection activeCell="AC18" sqref="AC18"/>
    </sheetView>
  </sheetViews>
  <sheetFormatPr defaultRowHeight="14.6" x14ac:dyDescent="0.4"/>
  <cols>
    <col min="14" max="14" width="9.921875" customWidth="1"/>
    <col min="15" max="15" width="10.23046875" customWidth="1"/>
    <col min="16" max="16" width="10.3828125" customWidth="1"/>
    <col min="18" max="18" width="10.3046875" customWidth="1"/>
    <col min="19" max="19" width="10.84375" customWidth="1"/>
  </cols>
  <sheetData>
    <row r="1" spans="1:45" s="1" customFormat="1" x14ac:dyDescent="0.4">
      <c r="A1" s="19" t="s">
        <v>73</v>
      </c>
    </row>
    <row r="2" spans="1:45" s="1" customFormat="1" x14ac:dyDescent="0.4">
      <c r="A2" s="21" t="s">
        <v>22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 t="s">
        <v>25</v>
      </c>
      <c r="U2" s="21"/>
      <c r="V2" s="21"/>
    </row>
    <row r="3" spans="1:45" s="12" customFormat="1" ht="78.900000000000006" customHeight="1" x14ac:dyDescent="0.4">
      <c r="A3" s="9" t="s">
        <v>2</v>
      </c>
      <c r="B3" s="9" t="s">
        <v>1</v>
      </c>
      <c r="C3" s="9" t="s">
        <v>74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66</v>
      </c>
      <c r="I3" s="9" t="s">
        <v>8</v>
      </c>
      <c r="J3" s="9" t="s">
        <v>49</v>
      </c>
      <c r="K3" s="9" t="s">
        <v>9</v>
      </c>
      <c r="L3" s="9" t="s">
        <v>10</v>
      </c>
      <c r="M3" s="9" t="s">
        <v>13</v>
      </c>
      <c r="N3" s="9" t="s">
        <v>14</v>
      </c>
      <c r="O3" s="9" t="s">
        <v>16</v>
      </c>
      <c r="P3" s="9" t="s">
        <v>75</v>
      </c>
      <c r="Q3" s="9" t="s">
        <v>76</v>
      </c>
      <c r="R3" s="9" t="s">
        <v>81</v>
      </c>
      <c r="S3" s="9" t="s">
        <v>82</v>
      </c>
      <c r="T3" s="9" t="s">
        <v>23</v>
      </c>
      <c r="U3" s="9" t="s">
        <v>24</v>
      </c>
      <c r="V3" s="9" t="s">
        <v>77</v>
      </c>
      <c r="W3" s="9" t="s">
        <v>27</v>
      </c>
      <c r="X3" s="11" t="s">
        <v>26</v>
      </c>
      <c r="Y3" s="11" t="s">
        <v>39</v>
      </c>
      <c r="Z3" s="11" t="s">
        <v>40</v>
      </c>
      <c r="AA3" s="11" t="s">
        <v>14</v>
      </c>
      <c r="AB3" s="11" t="s">
        <v>45</v>
      </c>
      <c r="AC3" s="11" t="s">
        <v>47</v>
      </c>
      <c r="AD3" s="11" t="s">
        <v>50</v>
      </c>
      <c r="AE3" s="11" t="s">
        <v>51</v>
      </c>
      <c r="AF3" s="11" t="s">
        <v>53</v>
      </c>
      <c r="AG3" s="11" t="s">
        <v>78</v>
      </c>
      <c r="AH3" s="11" t="s">
        <v>79</v>
      </c>
      <c r="AI3" s="11" t="s">
        <v>80</v>
      </c>
      <c r="AJ3" s="13" t="s">
        <v>59</v>
      </c>
      <c r="AK3" s="13" t="s">
        <v>60</v>
      </c>
      <c r="AL3" s="13" t="s">
        <v>24</v>
      </c>
      <c r="AM3" s="13" t="s">
        <v>61</v>
      </c>
      <c r="AN3" s="16" t="s">
        <v>66</v>
      </c>
      <c r="AO3" s="16" t="s">
        <v>65</v>
      </c>
      <c r="AP3" s="16" t="s">
        <v>64</v>
      </c>
      <c r="AQ3" s="16" t="s">
        <v>67</v>
      </c>
      <c r="AR3" s="16" t="s">
        <v>68</v>
      </c>
      <c r="AS3" s="16" t="s">
        <v>70</v>
      </c>
    </row>
    <row r="4" spans="1:45" s="1" customFormat="1" x14ac:dyDescent="0.4">
      <c r="A4" s="20" t="s">
        <v>72</v>
      </c>
      <c r="B4" s="20" t="s">
        <v>71</v>
      </c>
      <c r="C4" s="20">
        <v>7500</v>
      </c>
      <c r="D4" s="20" t="s">
        <v>38</v>
      </c>
      <c r="E4" s="6" t="s">
        <v>83</v>
      </c>
      <c r="F4" s="20">
        <v>1000000</v>
      </c>
      <c r="G4" s="15">
        <v>0</v>
      </c>
      <c r="H4" s="20">
        <v>70</v>
      </c>
      <c r="I4" s="20">
        <v>1</v>
      </c>
      <c r="J4" s="20">
        <v>0</v>
      </c>
      <c r="K4" s="20">
        <v>1</v>
      </c>
      <c r="L4" s="20">
        <v>1</v>
      </c>
      <c r="M4" s="20">
        <v>1</v>
      </c>
      <c r="N4" s="20">
        <v>1</v>
      </c>
      <c r="O4" s="20">
        <v>0</v>
      </c>
      <c r="P4" s="20">
        <v>0</v>
      </c>
      <c r="Q4" s="20">
        <v>1</v>
      </c>
      <c r="R4" s="20">
        <v>100000</v>
      </c>
      <c r="S4" s="20">
        <v>100000</v>
      </c>
      <c r="T4" s="20">
        <v>1</v>
      </c>
      <c r="U4" s="20">
        <v>2</v>
      </c>
      <c r="V4" s="20">
        <v>3</v>
      </c>
      <c r="W4" s="20">
        <f ca="1">DATEDIF(E4,TODAY(),"y")</f>
        <v>0</v>
      </c>
      <c r="X4" s="5">
        <f ca="1">(
IF(W4&lt;=5,
    IF(D4="A",1.751,IF(D4="B",1.743,1.726)),
    IF(W4&lt;=7,
        IF(D4="A",1.795,IF(D4="B",1.787,1.77)),
        IF(D4="A",1.839,IF(D4="B",1.83,1.812))
    )
)
)</f>
        <v>1.7509999999999999</v>
      </c>
      <c r="Y4" s="25">
        <f ca="1">F4*X4% +
IF(C4&gt;12000, CEILING((C4-12000)/100,1)*27, 0)</f>
        <v>17509.999999999996</v>
      </c>
      <c r="Z4" s="8">
        <f ca="1">IF(K4=1,IF(W4&lt;1,Y4*0.1,IF(W4&lt;2,Y4*0.2,Y4*0.3)),0)</f>
        <v>1750.9999999999998</v>
      </c>
      <c r="AA4" s="5">
        <f>IF(N4=1,200,0)</f>
        <v>200</v>
      </c>
      <c r="AB4" s="5">
        <f ca="1">IF(L4=1,IF(W4&lt;1,F4*0.18%,IF(W4&lt;2,F4*0.2%,F4*0.25%)),0)</f>
        <v>1800</v>
      </c>
      <c r="AC4" s="5">
        <f ca="1">IF(M4=1,IF(W4&lt;1,F4*0.1%,
 IF(W4&lt;=1,F4*0.12%,
 IF(W4&lt;=2,F4*0.15%,
 IF(W4&lt;=3,F4*0.17%,
  F4*0.2%
 )))),0)</f>
        <v>1000</v>
      </c>
      <c r="AD4" s="23">
        <f ca="1">IF(I4=1,IF(W4&lt;1,Y4*0.01,IF(W4&lt;2,Y4*0.02,Y4*0.03)),0)</f>
        <v>175.09999999999997</v>
      </c>
      <c r="AE4" s="24">
        <f>J4*4%</f>
        <v>0</v>
      </c>
      <c r="AF4" s="5">
        <f>IF(O4=1,P4*0.1,0)</f>
        <v>0</v>
      </c>
      <c r="AG4" s="5">
        <f ca="1">IF(Q4=1,(Y4-AN4)*0.15,0)</f>
        <v>787.9499999999997</v>
      </c>
      <c r="AH4" s="5">
        <f>R4*0.04</f>
        <v>4000</v>
      </c>
      <c r="AI4" s="5">
        <f>S4*0.01751</f>
        <v>1751.0000000000002</v>
      </c>
      <c r="AJ4" s="14">
        <f>IF(C4&lt;=7500,16049,
   IF(C4&lt;=12000,27186,
      IF(C4&lt;=20000,35313,
         IF(C4&lt;=40000,43950,44242)
      )
   )
)</f>
        <v>16049</v>
      </c>
      <c r="AK4" s="14">
        <f>IF(T4=1,275,0)</f>
        <v>275</v>
      </c>
      <c r="AL4" s="14">
        <f>IF(U4=1,50*U4,0)</f>
        <v>0</v>
      </c>
      <c r="AM4" s="24">
        <f>IF(I4=1,60,IF(J4&gt;0,60,0))</f>
        <v>60</v>
      </c>
      <c r="AN4" s="17">
        <f ca="1">(Y4*H4)/100</f>
        <v>12256.999999999998</v>
      </c>
      <c r="AO4" s="17">
        <f ca="1">((Y4-AN4)+Z4+AB4+AD4)*G4</f>
        <v>0</v>
      </c>
      <c r="AP4" s="18">
        <f ca="1">SUM(Y4:AM4)-AN4-AO4</f>
        <v>33102.049999999996</v>
      </c>
      <c r="AQ4" s="17">
        <f ca="1">AP4*9%</f>
        <v>2979.1844999999994</v>
      </c>
      <c r="AR4" s="17">
        <f ca="1">AP4*9%</f>
        <v>2979.1844999999994</v>
      </c>
      <c r="AS4" s="18">
        <f ca="1">AR4+AQ4+AP4</f>
        <v>39060.418999999994</v>
      </c>
    </row>
    <row r="5" spans="1:45" s="1" customFormat="1" x14ac:dyDescent="0.4"/>
    <row r="7" spans="1:45" x14ac:dyDescent="0.4">
      <c r="H7">
        <f ca="1">F4*X4</f>
        <v>1751000</v>
      </c>
    </row>
  </sheetData>
  <dataConsolidate/>
  <mergeCells count="2">
    <mergeCell ref="A2:S2"/>
    <mergeCell ref="T2:V2"/>
  </mergeCells>
  <dataValidations count="5">
    <dataValidation type="list" allowBlank="1" showInputMessage="1" showErrorMessage="1" sqref="G4">
      <formula1>"0%,20%,25%,35%,45%,50%"</formula1>
    </dataValidation>
    <dataValidation type="date" allowBlank="1" showInputMessage="1" showErrorMessage="1" sqref="E4">
      <formula1>1</formula1>
      <formula2>47573</formula2>
    </dataValidation>
    <dataValidation type="list" allowBlank="1" showInputMessage="1" showErrorMessage="1" sqref="D4">
      <formula1>"A,B,C"</formula1>
    </dataValidation>
    <dataValidation type="list" allowBlank="1" showInputMessage="1" showErrorMessage="1" sqref="A4">
      <formula1>"Package, Liability"</formula1>
    </dataValidation>
    <dataValidation type="list" allowBlank="1" showInputMessage="1" showErrorMessage="1" sqref="B4">
      <formula1>"New, Perowned"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Private Car</vt:lpstr>
      <vt:lpstr>Age RTO</vt:lpstr>
      <vt:lpstr>GCV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Anand Choudhary</cp:lastModifiedBy>
  <dcterms:created xsi:type="dcterms:W3CDTF">2026-01-16T05:08:17Z</dcterms:created>
  <dcterms:modified xsi:type="dcterms:W3CDTF">2026-02-07T21:00:18Z</dcterms:modified>
</cp:coreProperties>
</file>